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Telegram Desktop\"/>
    </mc:Choice>
  </mc:AlternateContent>
  <bookViews>
    <workbookView xWindow="0" yWindow="0" windowWidth="20460" windowHeight="2145" activeTab="2"/>
  </bookViews>
  <sheets>
    <sheet name="DESAFIO" sheetId="3" r:id="rId1"/>
    <sheet name="ejer 1" sheetId="5" r:id="rId2"/>
    <sheet name="ejer 2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5" l="1"/>
  <c r="D43" i="5" s="1"/>
  <c r="F35" i="5"/>
  <c r="F41" i="5" s="1"/>
  <c r="E35" i="5"/>
  <c r="E41" i="5" s="1"/>
  <c r="D35" i="5"/>
  <c r="D41" i="5" s="1"/>
  <c r="F31" i="5"/>
  <c r="E31" i="5"/>
  <c r="D31" i="5"/>
  <c r="J31" i="5" s="1"/>
  <c r="J30" i="5"/>
  <c r="F30" i="5"/>
  <c r="F36" i="5" s="1"/>
  <c r="F42" i="5" s="1"/>
  <c r="E30" i="5"/>
  <c r="E36" i="5" s="1"/>
  <c r="E42" i="5" s="1"/>
  <c r="D30" i="5"/>
  <c r="F29" i="5"/>
  <c r="E29" i="5"/>
  <c r="D29" i="5"/>
  <c r="E29" i="2"/>
  <c r="F29" i="2"/>
  <c r="D29" i="2"/>
  <c r="D33" i="2"/>
  <c r="J29" i="2"/>
  <c r="F35" i="2" s="1"/>
  <c r="J28" i="2"/>
  <c r="D28" i="2" s="1"/>
  <c r="E27" i="2"/>
  <c r="E33" i="2" s="1"/>
  <c r="F27" i="2"/>
  <c r="F33" i="2" s="1"/>
  <c r="D27" i="2"/>
  <c r="E28" i="2" l="1"/>
  <c r="E34" i="2" s="1"/>
  <c r="F28" i="2"/>
  <c r="F34" i="2" s="1"/>
  <c r="F40" i="2" s="1"/>
  <c r="E37" i="5"/>
  <c r="K31" i="5" s="1"/>
  <c r="D37" i="5"/>
  <c r="F37" i="5"/>
  <c r="E35" i="2"/>
  <c r="K29" i="2" s="1"/>
  <c r="F41" i="2" s="1"/>
  <c r="D40" i="2"/>
  <c r="D41" i="2" s="1"/>
  <c r="E39" i="2"/>
  <c r="F39" i="2"/>
  <c r="D39" i="2"/>
  <c r="E43" i="5" l="1"/>
  <c r="F43" i="5"/>
  <c r="I52" i="5" a="1"/>
  <c r="E40" i="2"/>
  <c r="K52" i="5" l="1"/>
  <c r="J52" i="5"/>
  <c r="K53" i="5"/>
  <c r="I53" i="5"/>
  <c r="I54" i="5"/>
  <c r="K54" i="5"/>
  <c r="I52" i="5"/>
  <c r="J54" i="5"/>
  <c r="J53" i="5"/>
  <c r="I57" i="5" a="1"/>
  <c r="D47" i="5" a="1"/>
  <c r="K59" i="5" l="1"/>
  <c r="I57" i="5"/>
  <c r="J57" i="5"/>
  <c r="J59" i="5"/>
  <c r="I58" i="5"/>
  <c r="I59" i="5"/>
  <c r="K58" i="5"/>
  <c r="J58" i="5"/>
  <c r="K57" i="5"/>
  <c r="D53" i="5" a="1"/>
  <c r="E48" i="5"/>
  <c r="D48" i="5"/>
  <c r="E47" i="5"/>
  <c r="D47" i="5"/>
  <c r="D49" i="5"/>
  <c r="F48" i="5"/>
  <c r="F49" i="5"/>
  <c r="E49" i="5"/>
  <c r="F47" i="5"/>
  <c r="D53" i="5" l="1"/>
  <c r="D55" i="5"/>
  <c r="D54" i="5"/>
  <c r="D57" i="5" s="1" a="1"/>
  <c r="D57" i="5" l="1"/>
  <c r="D59" i="5"/>
  <c r="D58" i="5"/>
  <c r="E41" i="2" l="1"/>
  <c r="D35" i="2"/>
  <c r="I50" i="2" a="1"/>
  <c r="D45" i="2" l="1" a="1"/>
  <c r="E45" i="2" s="1"/>
  <c r="I55" i="2" a="1"/>
  <c r="J55" i="2" s="1"/>
  <c r="I50" i="2"/>
  <c r="K51" i="2"/>
  <c r="J52" i="2"/>
  <c r="I51" i="2"/>
  <c r="K50" i="2"/>
  <c r="J50" i="2"/>
  <c r="K52" i="2"/>
  <c r="I52" i="2"/>
  <c r="J51" i="2"/>
  <c r="K55" i="2" l="1"/>
  <c r="I56" i="2"/>
  <c r="F45" i="2"/>
  <c r="K56" i="2"/>
  <c r="F47" i="2"/>
  <c r="I57" i="2"/>
  <c r="D45" i="2"/>
  <c r="J56" i="2"/>
  <c r="F46" i="2"/>
  <c r="K57" i="2"/>
  <c r="E47" i="2"/>
  <c r="D47" i="2"/>
  <c r="I55" i="2"/>
  <c r="E46" i="2"/>
  <c r="J57" i="2"/>
  <c r="D46" i="2"/>
  <c r="D51" i="2" a="1"/>
  <c r="D53" i="2" l="1"/>
  <c r="D51" i="2"/>
  <c r="D52" i="2"/>
  <c r="D55" i="2" l="1" a="1"/>
  <c r="D56" i="2" l="1"/>
  <c r="D55" i="2"/>
  <c r="D57" i="2"/>
</calcChain>
</file>

<file path=xl/sharedStrings.xml><?xml version="1.0" encoding="utf-8"?>
<sst xmlns="http://schemas.openxmlformats.org/spreadsheetml/2006/main" count="38" uniqueCount="20">
  <si>
    <t>a =</t>
  </si>
  <si>
    <t>b =</t>
  </si>
  <si>
    <t>a= u0</t>
  </si>
  <si>
    <t>u1=</t>
  </si>
  <si>
    <t>-f21 *a1i + a2i</t>
  </si>
  <si>
    <t>f21</t>
  </si>
  <si>
    <t>f31</t>
  </si>
  <si>
    <t>f32</t>
  </si>
  <si>
    <t>L0</t>
  </si>
  <si>
    <t>u2</t>
  </si>
  <si>
    <t>u3</t>
  </si>
  <si>
    <t>a= l* u</t>
  </si>
  <si>
    <t xml:space="preserve">L d =b </t>
  </si>
  <si>
    <t>inv(L)</t>
  </si>
  <si>
    <t>inv(U)</t>
  </si>
  <si>
    <t>U x = d</t>
  </si>
  <si>
    <t>inv(L) * b</t>
  </si>
  <si>
    <t>inv(u) *d</t>
  </si>
  <si>
    <t>a=[10, +2, -1; -3, -6 2; 1 1 5 ]</t>
  </si>
  <si>
    <t>b=[27; -61.5 ; -21.5]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</si>
</sst>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right"/>
    </xf>
    <xf numFmtId="0" fontId="0" fillId="3" borderId="0" xfId="0" applyFill="1"/>
    <xf numFmtId="0" fontId="0" fillId="0" borderId="0" xfId="0" quotePrefix="1"/>
    <xf numFmtId="0" fontId="0" fillId="4" borderId="0" xfId="0" applyFill="1"/>
    <xf numFmtId="4" fontId="0" fillId="0" borderId="0" xfId="0" applyNumberFormat="1"/>
    <xf numFmtId="3" fontId="0" fillId="3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1</xdr:row>
      <xdr:rowOff>114300</xdr:rowOff>
    </xdr:from>
    <xdr:to>
      <xdr:col>9</xdr:col>
      <xdr:colOff>477005</xdr:colOff>
      <xdr:row>22</xdr:row>
      <xdr:rowOff>162490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CACA55-2EBC-B033-4772-EE7489DD4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4050" y="304800"/>
          <a:ext cx="5410955" cy="40486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7</xdr:col>
      <xdr:colOff>29004</xdr:colOff>
      <xdr:row>52</xdr:row>
      <xdr:rowOff>115034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D62728-9239-686F-70CB-395B25E2A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0" y="4762500"/>
          <a:ext cx="3077004" cy="525853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11</xdr:col>
      <xdr:colOff>686215</xdr:colOff>
      <xdr:row>52</xdr:row>
      <xdr:rowOff>19771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F13412C-F154-6D3A-E467-8F46A411D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4762500"/>
          <a:ext cx="2972215" cy="51632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695183</xdr:colOff>
      <xdr:row>28</xdr:row>
      <xdr:rowOff>142875</xdr:rowOff>
    </xdr:from>
    <xdr:to>
      <xdr:col>8</xdr:col>
      <xdr:colOff>166214</xdr:colOff>
      <xdr:row>31</xdr:row>
      <xdr:rowOff>821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26A3F7-3D77-45F8-907A-48DEFA83A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183" y="4524375"/>
          <a:ext cx="995031" cy="429447"/>
        </a:xfrm>
        <a:prstGeom prst="rect">
          <a:avLst/>
        </a:prstGeom>
      </xdr:spPr>
    </xdr:pic>
    <xdr:clientData/>
  </xdr:twoCellAnchor>
  <xdr:twoCellAnchor editAs="oneCell">
    <xdr:from>
      <xdr:col>6</xdr:col>
      <xdr:colOff>635403</xdr:colOff>
      <xdr:row>33</xdr:row>
      <xdr:rowOff>183696</xdr:rowOff>
    </xdr:from>
    <xdr:to>
      <xdr:col>8</xdr:col>
      <xdr:colOff>213833</xdr:colOff>
      <xdr:row>42</xdr:row>
      <xdr:rowOff>31581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93CDB8-87F9-DCAA-D839-51168E546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7403" y="5517696"/>
          <a:ext cx="1102430" cy="1562385"/>
        </a:xfrm>
        <a:prstGeom prst="rect">
          <a:avLst/>
        </a:prstGeom>
      </xdr:spPr>
    </xdr:pic>
    <xdr:clientData/>
  </xdr:twoCellAnchor>
  <xdr:twoCellAnchor editAs="oneCell">
    <xdr:from>
      <xdr:col>2</xdr:col>
      <xdr:colOff>340178</xdr:colOff>
      <xdr:row>0</xdr:row>
      <xdr:rowOff>79375</xdr:rowOff>
    </xdr:from>
    <xdr:to>
      <xdr:col>9</xdr:col>
      <xdr:colOff>183958</xdr:colOff>
      <xdr:row>7</xdr:row>
      <xdr:rowOff>44286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9642" y="79375"/>
          <a:ext cx="5161905" cy="131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695183</xdr:colOff>
      <xdr:row>26</xdr:row>
      <xdr:rowOff>142875</xdr:rowOff>
    </xdr:from>
    <xdr:to>
      <xdr:col>8</xdr:col>
      <xdr:colOff>166214</xdr:colOff>
      <xdr:row>29</xdr:row>
      <xdr:rowOff>821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26A3F7-3D77-45F8-907A-48DEFA83A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183" y="4524375"/>
          <a:ext cx="995031" cy="427353"/>
        </a:xfrm>
        <a:prstGeom prst="rect">
          <a:avLst/>
        </a:prstGeom>
      </xdr:spPr>
    </xdr:pic>
    <xdr:clientData/>
  </xdr:twoCellAnchor>
  <xdr:twoCellAnchor editAs="oneCell">
    <xdr:from>
      <xdr:col>6</xdr:col>
      <xdr:colOff>635403</xdr:colOff>
      <xdr:row>31</xdr:row>
      <xdr:rowOff>183696</xdr:rowOff>
    </xdr:from>
    <xdr:to>
      <xdr:col>8</xdr:col>
      <xdr:colOff>213833</xdr:colOff>
      <xdr:row>40</xdr:row>
      <xdr:rowOff>31582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93CDB8-87F9-DCAA-D839-51168E546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7403" y="5517696"/>
          <a:ext cx="1102430" cy="1562385"/>
        </a:xfrm>
        <a:prstGeom prst="rect">
          <a:avLst/>
        </a:prstGeom>
      </xdr:spPr>
    </xdr:pic>
    <xdr:clientData/>
  </xdr:twoCellAnchor>
  <xdr:twoCellAnchor editAs="oneCell">
    <xdr:from>
      <xdr:col>2</xdr:col>
      <xdr:colOff>215446</xdr:colOff>
      <xdr:row>0</xdr:row>
      <xdr:rowOff>0</xdr:rowOff>
    </xdr:from>
    <xdr:to>
      <xdr:col>9</xdr:col>
      <xdr:colOff>154464</xdr:colOff>
      <xdr:row>6</xdr:row>
      <xdr:rowOff>91012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4910" y="0"/>
          <a:ext cx="5257143" cy="12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26"/>
  <sheetViews>
    <sheetView topLeftCell="C31" zoomScale="78" workbookViewId="0">
      <selection activeCell="J26" sqref="J26"/>
    </sheetView>
  </sheetViews>
  <sheetFormatPr baseColWidth="10" defaultRowHeight="15" x14ac:dyDescent="0.25"/>
  <sheetData>
    <row r="26" spans="10:10" x14ac:dyDescent="0.25">
      <c r="J26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L59"/>
  <sheetViews>
    <sheetView zoomScale="84" zoomScaleNormal="84" workbookViewId="0">
      <selection activeCell="O12" sqref="O12"/>
    </sheetView>
  </sheetViews>
  <sheetFormatPr baseColWidth="10" defaultRowHeight="15" x14ac:dyDescent="0.25"/>
  <cols>
    <col min="10" max="12" width="7.7109375" customWidth="1"/>
  </cols>
  <sheetData>
    <row r="9" spans="4:6" x14ac:dyDescent="0.25">
      <c r="D9" t="s">
        <v>18</v>
      </c>
    </row>
    <row r="10" spans="4:6" x14ac:dyDescent="0.25">
      <c r="D10" t="s">
        <v>0</v>
      </c>
    </row>
    <row r="12" spans="4:6" x14ac:dyDescent="0.25">
      <c r="D12" s="9">
        <v>10</v>
      </c>
      <c r="E12" s="5">
        <v>2</v>
      </c>
      <c r="F12" s="5">
        <v>-1</v>
      </c>
    </row>
    <row r="13" spans="4:6" x14ac:dyDescent="0.25">
      <c r="D13" s="10">
        <v>-3</v>
      </c>
      <c r="E13" s="5">
        <v>-6</v>
      </c>
      <c r="F13" s="5">
        <v>2</v>
      </c>
    </row>
    <row r="14" spans="4:6" x14ac:dyDescent="0.25">
      <c r="D14" s="5">
        <v>1</v>
      </c>
      <c r="E14" s="5">
        <v>1</v>
      </c>
      <c r="F14" s="5">
        <v>5</v>
      </c>
    </row>
    <row r="16" spans="4:6" x14ac:dyDescent="0.25">
      <c r="D16" t="s">
        <v>19</v>
      </c>
    </row>
    <row r="17" spans="2:12" x14ac:dyDescent="0.25">
      <c r="D17" t="s">
        <v>1</v>
      </c>
    </row>
    <row r="19" spans="2:12" x14ac:dyDescent="0.25">
      <c r="D19" s="8">
        <v>27</v>
      </c>
    </row>
    <row r="20" spans="2:12" x14ac:dyDescent="0.25">
      <c r="D20" s="8">
        <v>-61.5</v>
      </c>
    </row>
    <row r="21" spans="2:12" x14ac:dyDescent="0.25">
      <c r="D21" s="8">
        <v>-21.5</v>
      </c>
    </row>
    <row r="24" spans="2:12" x14ac:dyDescent="0.25">
      <c r="D24" s="1">
        <v>10</v>
      </c>
      <c r="E24" s="2">
        <v>2</v>
      </c>
      <c r="F24" s="2">
        <v>-1</v>
      </c>
    </row>
    <row r="25" spans="2:12" x14ac:dyDescent="0.25">
      <c r="B25" t="s">
        <v>2</v>
      </c>
      <c r="D25" s="3">
        <v>-3</v>
      </c>
      <c r="E25" s="2">
        <v>-6</v>
      </c>
      <c r="F25" s="2">
        <v>2</v>
      </c>
      <c r="J25" s="6" t="s">
        <v>4</v>
      </c>
    </row>
    <row r="26" spans="2:12" x14ac:dyDescent="0.25">
      <c r="D26" s="2">
        <v>1</v>
      </c>
      <c r="E26" s="2">
        <v>1</v>
      </c>
      <c r="F26" s="2">
        <v>5</v>
      </c>
    </row>
    <row r="29" spans="2:12" x14ac:dyDescent="0.25">
      <c r="B29" t="s">
        <v>3</v>
      </c>
      <c r="D29" s="9">
        <f>D24</f>
        <v>10</v>
      </c>
      <c r="E29" s="9">
        <f t="shared" ref="E29:F29" si="0">E24</f>
        <v>2</v>
      </c>
      <c r="F29" s="9">
        <f t="shared" si="0"/>
        <v>-1</v>
      </c>
      <c r="I29" s="4" t="s">
        <v>8</v>
      </c>
      <c r="J29" s="5">
        <v>1</v>
      </c>
      <c r="K29" s="5">
        <v>0</v>
      </c>
      <c r="L29" s="5">
        <v>0</v>
      </c>
    </row>
    <row r="30" spans="2:12" x14ac:dyDescent="0.25">
      <c r="D30" s="5">
        <f>+-J30*D24+D25</f>
        <v>0</v>
      </c>
      <c r="E30" s="5">
        <f>+-J30*E24+E25</f>
        <v>-5.4</v>
      </c>
      <c r="F30" s="5">
        <f>+-J30*F24+F25</f>
        <v>1.7</v>
      </c>
      <c r="J30" s="5">
        <f>+D25/D24</f>
        <v>-0.3</v>
      </c>
      <c r="K30" s="5">
        <v>1</v>
      </c>
      <c r="L30" s="5">
        <v>0</v>
      </c>
    </row>
    <row r="31" spans="2:12" x14ac:dyDescent="0.25">
      <c r="D31" s="5">
        <f>D26</f>
        <v>1</v>
      </c>
      <c r="E31" s="5">
        <f t="shared" ref="E31:F31" si="1">E26</f>
        <v>1</v>
      </c>
      <c r="F31" s="5">
        <f t="shared" si="1"/>
        <v>5</v>
      </c>
      <c r="J31" s="5">
        <f>+D31/D29</f>
        <v>0.1</v>
      </c>
      <c r="K31" s="5">
        <f>E37/E36</f>
        <v>-0.14814814814814814</v>
      </c>
      <c r="L31" s="5">
        <v>1</v>
      </c>
    </row>
    <row r="32" spans="2:12" x14ac:dyDescent="0.25">
      <c r="K32">
        <v>0</v>
      </c>
    </row>
    <row r="33" spans="2:12" x14ac:dyDescent="0.25">
      <c r="J33" s="7">
        <v>1</v>
      </c>
      <c r="K33" s="7">
        <v>0</v>
      </c>
      <c r="L33" s="7">
        <v>0</v>
      </c>
    </row>
    <row r="34" spans="2:12" x14ac:dyDescent="0.25">
      <c r="J34" s="7" t="s">
        <v>5</v>
      </c>
      <c r="K34" s="7">
        <v>1</v>
      </c>
      <c r="L34" s="7">
        <v>0</v>
      </c>
    </row>
    <row r="35" spans="2:12" x14ac:dyDescent="0.25">
      <c r="D35" s="9">
        <f>D29</f>
        <v>10</v>
      </c>
      <c r="E35" s="9">
        <f t="shared" ref="E35:F35" si="2">E29</f>
        <v>2</v>
      </c>
      <c r="F35" s="9">
        <f t="shared" si="2"/>
        <v>-1</v>
      </c>
      <c r="J35" s="7" t="s">
        <v>6</v>
      </c>
      <c r="K35" s="7" t="s">
        <v>7</v>
      </c>
      <c r="L35" s="7">
        <v>1</v>
      </c>
    </row>
    <row r="36" spans="2:12" x14ac:dyDescent="0.25">
      <c r="B36" t="s">
        <v>9</v>
      </c>
      <c r="D36" s="5">
        <v>0</v>
      </c>
      <c r="E36" s="5">
        <f>+E30</f>
        <v>-5.4</v>
      </c>
      <c r="F36" s="5">
        <f>+F30</f>
        <v>1.7</v>
      </c>
    </row>
    <row r="37" spans="2:12" x14ac:dyDescent="0.25">
      <c r="D37" s="5">
        <f>+-J31*D29+D31</f>
        <v>0</v>
      </c>
      <c r="E37" s="5">
        <f>+-J31*E29+E31</f>
        <v>0.8</v>
      </c>
      <c r="F37" s="5">
        <f>+-J31*F29+F31</f>
        <v>5.0999999999999996</v>
      </c>
    </row>
    <row r="41" spans="2:12" x14ac:dyDescent="0.25">
      <c r="B41" t="s">
        <v>10</v>
      </c>
      <c r="D41" s="5">
        <f>+D35</f>
        <v>10</v>
      </c>
      <c r="E41" s="5">
        <f t="shared" ref="E41:F42" si="3">+E35</f>
        <v>2</v>
      </c>
      <c r="F41" s="5">
        <f t="shared" si="3"/>
        <v>-1</v>
      </c>
    </row>
    <row r="42" spans="2:12" x14ac:dyDescent="0.25">
      <c r="D42" s="5">
        <f>+D36</f>
        <v>0</v>
      </c>
      <c r="E42" s="5">
        <f t="shared" si="3"/>
        <v>-5.4</v>
      </c>
      <c r="F42" s="5">
        <f>+F36</f>
        <v>1.7</v>
      </c>
    </row>
    <row r="43" spans="2:12" x14ac:dyDescent="0.25">
      <c r="D43" s="5">
        <f>+D42</f>
        <v>0</v>
      </c>
      <c r="E43" s="5">
        <f>+-K31*E36+E37</f>
        <v>0</v>
      </c>
      <c r="F43" s="5">
        <f>+-K31*F36+F37</f>
        <v>5.3518518518518512</v>
      </c>
    </row>
    <row r="47" spans="2:12" x14ac:dyDescent="0.25">
      <c r="B47" t="s">
        <v>11</v>
      </c>
      <c r="D47" s="5">
        <f t="array" ref="D47:F49">+MMULT(J29:L31,D41:F43)</f>
        <v>10</v>
      </c>
      <c r="E47" s="5">
        <v>2</v>
      </c>
      <c r="F47" s="5">
        <v>-1</v>
      </c>
    </row>
    <row r="48" spans="2:12" x14ac:dyDescent="0.25">
      <c r="D48" s="5">
        <v>-3</v>
      </c>
      <c r="E48" s="5">
        <v>-6</v>
      </c>
      <c r="F48" s="5">
        <v>2</v>
      </c>
    </row>
    <row r="49" spans="2:11" x14ac:dyDescent="0.25">
      <c r="D49" s="5">
        <v>1</v>
      </c>
      <c r="E49" s="5">
        <v>1</v>
      </c>
      <c r="F49" s="5">
        <v>4.9999999999999991</v>
      </c>
    </row>
    <row r="52" spans="2:11" x14ac:dyDescent="0.25">
      <c r="B52" s="5"/>
      <c r="I52">
        <f t="array" ref="I52:K54">+MINVERSE(J29:L31)</f>
        <v>1</v>
      </c>
      <c r="J52">
        <v>0</v>
      </c>
      <c r="K52">
        <v>0</v>
      </c>
    </row>
    <row r="53" spans="2:11" x14ac:dyDescent="0.25">
      <c r="B53" s="5" t="s">
        <v>12</v>
      </c>
      <c r="D53">
        <f t="array" ref="D53:D55">+MMULT(I52:K54,D19:D21)</f>
        <v>27</v>
      </c>
      <c r="F53" t="s">
        <v>16</v>
      </c>
      <c r="H53" t="s">
        <v>13</v>
      </c>
      <c r="I53">
        <v>0.3</v>
      </c>
      <c r="J53">
        <v>1</v>
      </c>
      <c r="K53">
        <v>0</v>
      </c>
    </row>
    <row r="54" spans="2:11" x14ac:dyDescent="0.25">
      <c r="B54" s="5"/>
      <c r="D54">
        <v>-53.4</v>
      </c>
      <c r="I54">
        <v>-5.5555555555555566E-2</v>
      </c>
      <c r="J54">
        <v>0.14814814814814814</v>
      </c>
      <c r="K54">
        <v>1</v>
      </c>
    </row>
    <row r="55" spans="2:11" x14ac:dyDescent="0.25">
      <c r="B55" s="5"/>
      <c r="D55">
        <v>-32.111111111111114</v>
      </c>
    </row>
    <row r="56" spans="2:11" x14ac:dyDescent="0.25">
      <c r="B56" s="5"/>
    </row>
    <row r="57" spans="2:11" x14ac:dyDescent="0.25">
      <c r="B57" s="5" t="s">
        <v>15</v>
      </c>
      <c r="D57" s="5">
        <f t="array" ref="D57:D59">+MMULT(I57:K59,D53:D55)</f>
        <v>0.50000000000000022</v>
      </c>
      <c r="H57" t="s">
        <v>14</v>
      </c>
      <c r="I57">
        <f t="array" ref="I57:K59">+MINVERSE(D41:F43)</f>
        <v>0.1</v>
      </c>
      <c r="J57">
        <v>3.7037037037037035E-2</v>
      </c>
      <c r="K57">
        <v>6.9204152249134968E-3</v>
      </c>
    </row>
    <row r="58" spans="2:11" x14ac:dyDescent="0.25">
      <c r="B58" s="5"/>
      <c r="D58" s="5">
        <v>7.9999999999999982</v>
      </c>
      <c r="F58" t="s">
        <v>17</v>
      </c>
      <c r="I58">
        <v>0</v>
      </c>
      <c r="J58">
        <v>-0.18518518518518517</v>
      </c>
      <c r="K58">
        <v>5.8823529411764712E-2</v>
      </c>
    </row>
    <row r="59" spans="2:11" x14ac:dyDescent="0.25">
      <c r="B59" s="5"/>
      <c r="D59" s="5">
        <v>-6.0000000000000018</v>
      </c>
      <c r="I59">
        <v>0</v>
      </c>
      <c r="J59">
        <v>0</v>
      </c>
      <c r="K59">
        <v>0.18685121107266439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L57"/>
  <sheetViews>
    <sheetView tabSelected="1" topLeftCell="A34" zoomScale="84" zoomScaleNormal="84" workbookViewId="0">
      <selection activeCell="G12" sqref="G12"/>
    </sheetView>
  </sheetViews>
  <sheetFormatPr baseColWidth="10" defaultRowHeight="15" x14ac:dyDescent="0.25"/>
  <cols>
    <col min="10" max="12" width="7.7109375" customWidth="1"/>
  </cols>
  <sheetData>
    <row r="8" spans="4:6" x14ac:dyDescent="0.25">
      <c r="D8" t="s">
        <v>0</v>
      </c>
    </row>
    <row r="10" spans="4:6" x14ac:dyDescent="0.25">
      <c r="D10" s="9">
        <v>8</v>
      </c>
      <c r="E10" s="5">
        <v>4</v>
      </c>
      <c r="F10" s="5">
        <v>-1</v>
      </c>
    </row>
    <row r="11" spans="4:6" x14ac:dyDescent="0.25">
      <c r="D11" s="10">
        <v>-2</v>
      </c>
      <c r="E11" s="5">
        <v>5</v>
      </c>
      <c r="F11" s="5">
        <v>1</v>
      </c>
    </row>
    <row r="12" spans="4:6" x14ac:dyDescent="0.25">
      <c r="D12" s="5">
        <v>2</v>
      </c>
      <c r="E12" s="5">
        <v>-1</v>
      </c>
      <c r="F12" s="5">
        <v>6</v>
      </c>
    </row>
    <row r="15" spans="4:6" x14ac:dyDescent="0.25">
      <c r="D15" t="s">
        <v>1</v>
      </c>
    </row>
    <row r="17" spans="2:12" x14ac:dyDescent="0.25">
      <c r="D17" s="8">
        <v>11</v>
      </c>
    </row>
    <row r="18" spans="2:12" x14ac:dyDescent="0.25">
      <c r="D18" s="8">
        <v>4</v>
      </c>
    </row>
    <row r="19" spans="2:12" x14ac:dyDescent="0.25">
      <c r="D19" s="8">
        <v>7</v>
      </c>
    </row>
    <row r="22" spans="2:12" x14ac:dyDescent="0.25">
      <c r="D22" s="9">
        <v>8</v>
      </c>
      <c r="E22" s="5">
        <v>4</v>
      </c>
      <c r="F22" s="5">
        <v>-1</v>
      </c>
    </row>
    <row r="23" spans="2:12" x14ac:dyDescent="0.25">
      <c r="B23" t="s">
        <v>2</v>
      </c>
      <c r="D23" s="10">
        <v>-2</v>
      </c>
      <c r="E23" s="5">
        <v>5</v>
      </c>
      <c r="F23" s="5">
        <v>1</v>
      </c>
      <c r="J23" s="6" t="s">
        <v>4</v>
      </c>
    </row>
    <row r="24" spans="2:12" x14ac:dyDescent="0.25">
      <c r="D24" s="5">
        <v>2</v>
      </c>
      <c r="E24" s="5">
        <v>-1</v>
      </c>
      <c r="F24" s="5">
        <v>6</v>
      </c>
    </row>
    <row r="27" spans="2:12" x14ac:dyDescent="0.25">
      <c r="B27" t="s">
        <v>3</v>
      </c>
      <c r="D27" s="9">
        <f>D22</f>
        <v>8</v>
      </c>
      <c r="E27" s="9">
        <f t="shared" ref="E27:F27" si="0">E22</f>
        <v>4</v>
      </c>
      <c r="F27" s="9">
        <f t="shared" si="0"/>
        <v>-1</v>
      </c>
      <c r="I27" s="4" t="s">
        <v>8</v>
      </c>
      <c r="J27" s="5">
        <v>1</v>
      </c>
      <c r="K27" s="5">
        <v>0</v>
      </c>
      <c r="L27" s="5">
        <v>0</v>
      </c>
    </row>
    <row r="28" spans="2:12" x14ac:dyDescent="0.25">
      <c r="D28" s="5">
        <f>+-J28*D22+D23</f>
        <v>0</v>
      </c>
      <c r="E28" s="5">
        <f>+-J28*E22+E23</f>
        <v>6</v>
      </c>
      <c r="F28" s="5">
        <f>+-J28*F22+F23</f>
        <v>0.75</v>
      </c>
      <c r="J28" s="5">
        <f>+D23/D22</f>
        <v>-0.25</v>
      </c>
      <c r="K28" s="5">
        <v>1</v>
      </c>
      <c r="L28" s="5">
        <v>0</v>
      </c>
    </row>
    <row r="29" spans="2:12" x14ac:dyDescent="0.25">
      <c r="D29" s="5">
        <f>D24</f>
        <v>2</v>
      </c>
      <c r="E29" s="5">
        <f t="shared" ref="E29:F29" si="1">E24</f>
        <v>-1</v>
      </c>
      <c r="F29" s="5">
        <f t="shared" si="1"/>
        <v>6</v>
      </c>
      <c r="J29" s="5">
        <f>+D29/D27</f>
        <v>0.25</v>
      </c>
      <c r="K29" s="5">
        <f>E35/E34</f>
        <v>-0.33333333333333331</v>
      </c>
      <c r="L29" s="5">
        <v>1</v>
      </c>
    </row>
    <row r="30" spans="2:12" x14ac:dyDescent="0.25">
      <c r="K30">
        <v>0</v>
      </c>
    </row>
    <row r="31" spans="2:12" x14ac:dyDescent="0.25">
      <c r="J31" s="7">
        <v>1</v>
      </c>
      <c r="K31" s="7">
        <v>0</v>
      </c>
      <c r="L31" s="7">
        <v>0</v>
      </c>
    </row>
    <row r="32" spans="2:12" x14ac:dyDescent="0.25">
      <c r="J32" s="7" t="s">
        <v>5</v>
      </c>
      <c r="K32" s="7">
        <v>1</v>
      </c>
      <c r="L32" s="7">
        <v>0</v>
      </c>
    </row>
    <row r="33" spans="2:12" x14ac:dyDescent="0.25">
      <c r="D33" s="9">
        <f>D27</f>
        <v>8</v>
      </c>
      <c r="E33" s="9">
        <f t="shared" ref="E33:F33" si="2">E27</f>
        <v>4</v>
      </c>
      <c r="F33" s="9">
        <f t="shared" si="2"/>
        <v>-1</v>
      </c>
      <c r="J33" s="7" t="s">
        <v>6</v>
      </c>
      <c r="K33" s="7" t="s">
        <v>7</v>
      </c>
      <c r="L33" s="7">
        <v>1</v>
      </c>
    </row>
    <row r="34" spans="2:12" x14ac:dyDescent="0.25">
      <c r="B34" t="s">
        <v>9</v>
      </c>
      <c r="D34" s="5">
        <v>0</v>
      </c>
      <c r="E34" s="5">
        <f>+E28</f>
        <v>6</v>
      </c>
      <c r="F34" s="5">
        <f>+F28</f>
        <v>0.75</v>
      </c>
    </row>
    <row r="35" spans="2:12" x14ac:dyDescent="0.25">
      <c r="D35" s="5">
        <f>+-J29*D27+D29</f>
        <v>0</v>
      </c>
      <c r="E35" s="5">
        <f>+-J29*E27+E29</f>
        <v>-2</v>
      </c>
      <c r="F35" s="5">
        <f>+-J29*F27+F29</f>
        <v>6.25</v>
      </c>
    </row>
    <row r="39" spans="2:12" x14ac:dyDescent="0.25">
      <c r="B39" t="s">
        <v>10</v>
      </c>
      <c r="D39" s="5">
        <f>+D33</f>
        <v>8</v>
      </c>
      <c r="E39" s="5">
        <f t="shared" ref="E39:F39" si="3">+E33</f>
        <v>4</v>
      </c>
      <c r="F39" s="5">
        <f t="shared" si="3"/>
        <v>-1</v>
      </c>
    </row>
    <row r="40" spans="2:12" x14ac:dyDescent="0.25">
      <c r="D40" s="5">
        <f>+D34</f>
        <v>0</v>
      </c>
      <c r="E40" s="5">
        <f t="shared" ref="E40:F40" si="4">+E34</f>
        <v>6</v>
      </c>
      <c r="F40" s="5">
        <f>+F34</f>
        <v>0.75</v>
      </c>
    </row>
    <row r="41" spans="2:12" x14ac:dyDescent="0.25">
      <c r="D41" s="5">
        <f>+D40</f>
        <v>0</v>
      </c>
      <c r="E41" s="5">
        <f>+-K29*E34+E35</f>
        <v>0</v>
      </c>
      <c r="F41" s="5">
        <f>+-K29*F34+F35</f>
        <v>6.5</v>
      </c>
    </row>
    <row r="45" spans="2:12" x14ac:dyDescent="0.25">
      <c r="B45" t="s">
        <v>11</v>
      </c>
      <c r="D45" s="5">
        <f t="array" ref="D45:F47">+MMULT(J27:L29,D39:F41)</f>
        <v>8</v>
      </c>
      <c r="E45" s="5">
        <v>4</v>
      </c>
      <c r="F45" s="5">
        <v>-1</v>
      </c>
    </row>
    <row r="46" spans="2:12" x14ac:dyDescent="0.25">
      <c r="D46" s="5">
        <v>-2</v>
      </c>
      <c r="E46" s="5">
        <v>5</v>
      </c>
      <c r="F46" s="5">
        <v>1</v>
      </c>
    </row>
    <row r="47" spans="2:12" x14ac:dyDescent="0.25">
      <c r="D47" s="5">
        <v>2</v>
      </c>
      <c r="E47" s="5">
        <v>-1</v>
      </c>
      <c r="F47" s="5">
        <v>6</v>
      </c>
    </row>
    <row r="50" spans="2:11" x14ac:dyDescent="0.25">
      <c r="B50" s="5"/>
      <c r="I50">
        <f t="array" ref="I50:K52">+MINVERSE(J27:L29)</f>
        <v>1</v>
      </c>
      <c r="J50">
        <v>0</v>
      </c>
      <c r="K50">
        <v>0</v>
      </c>
    </row>
    <row r="51" spans="2:11" x14ac:dyDescent="0.25">
      <c r="B51" s="5" t="s">
        <v>12</v>
      </c>
      <c r="D51">
        <f t="array" ref="D51:D53">+MMULT(I50:K52,D17:D19)</f>
        <v>11</v>
      </c>
      <c r="F51" t="s">
        <v>16</v>
      </c>
      <c r="H51" t="s">
        <v>13</v>
      </c>
      <c r="I51">
        <v>0.25</v>
      </c>
      <c r="J51">
        <v>1</v>
      </c>
      <c r="K51">
        <v>0</v>
      </c>
    </row>
    <row r="52" spans="2:11" x14ac:dyDescent="0.25">
      <c r="B52" s="5"/>
      <c r="D52">
        <v>6.75</v>
      </c>
      <c r="I52">
        <v>-0.16666666666666669</v>
      </c>
      <c r="J52">
        <v>0.33333333333333331</v>
      </c>
      <c r="K52">
        <v>1</v>
      </c>
    </row>
    <row r="53" spans="2:11" x14ac:dyDescent="0.25">
      <c r="B53" s="5"/>
      <c r="D53">
        <v>6.5</v>
      </c>
    </row>
    <row r="54" spans="2:11" x14ac:dyDescent="0.25">
      <c r="B54" s="5"/>
    </row>
    <row r="55" spans="2:11" x14ac:dyDescent="0.25">
      <c r="B55" s="5" t="s">
        <v>15</v>
      </c>
      <c r="D55" s="5">
        <f t="array" ref="D55:D57">+MMULT(I55:K57,D51:D53)</f>
        <v>1</v>
      </c>
      <c r="H55" t="s">
        <v>14</v>
      </c>
      <c r="I55">
        <f t="array" ref="I55:K57">+MINVERSE(D39:F41)</f>
        <v>0.125</v>
      </c>
      <c r="J55">
        <v>-8.3333333333333329E-2</v>
      </c>
      <c r="K55">
        <v>2.8846153846153848E-2</v>
      </c>
    </row>
    <row r="56" spans="2:11" x14ac:dyDescent="0.25">
      <c r="B56" s="5"/>
      <c r="D56" s="5">
        <v>1</v>
      </c>
      <c r="F56" t="s">
        <v>17</v>
      </c>
      <c r="I56">
        <v>0</v>
      </c>
      <c r="J56">
        <v>0.16666666666666666</v>
      </c>
      <c r="K56">
        <v>-1.9230769230769232E-2</v>
      </c>
    </row>
    <row r="57" spans="2:11" x14ac:dyDescent="0.25">
      <c r="B57" s="5"/>
      <c r="D57" s="5">
        <v>1</v>
      </c>
      <c r="I57">
        <v>0</v>
      </c>
      <c r="J57">
        <v>0</v>
      </c>
      <c r="K57">
        <v>0.15384615384615385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DESAFIO</vt:lpstr>
      <vt:lpstr>ejer 1</vt:lpstr>
      <vt:lpstr>ejer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</cp:lastModifiedBy>
  <dcterms:created xsi:type="dcterms:W3CDTF">2022-09-20T14:34:01Z</dcterms:created>
  <dcterms:modified xsi:type="dcterms:W3CDTF">2026-03-26T16:23:08Z</dcterms:modified>
</cp:coreProperties>
</file>